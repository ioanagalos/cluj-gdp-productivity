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oanagalos/Downloads/"/>
    </mc:Choice>
  </mc:AlternateContent>
  <xr:revisionPtr revIDLastSave="0" documentId="8_{88ACD971-23B6-1646-A729-CD7E69E56538}" xr6:coauthVersionLast="47" xr6:coauthVersionMax="47" xr10:uidLastSave="{00000000-0000-0000-0000-000000000000}"/>
  <bookViews>
    <workbookView xWindow="560" yWindow="680" windowWidth="18620" windowHeight="16100" xr2:uid="{D1A7D893-D454-1A43-89C0-631F57C4B15A}"/>
  </bookViews>
  <sheets>
    <sheet name="Sheet1" sheetId="1" r:id="rId1"/>
    <sheet name="IPC" sheetId="2" r:id="rId5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<sst xmlns="http://schemas.openxmlformats.org/spreadsheetml/2006/main" count="211" uniqueCount="148">
  <si>
    <t>Activitati CAEN Rev.2 si elemente componente PIB</t>
  </si>
  <si>
    <t>Macroregiuni, regiuni de dezvoltare si judete</t>
  </si>
  <si>
    <t>Ani</t>
  </si>
  <si>
    <t>Anul 2015</t>
  </si>
  <si>
    <t>Anul 2016</t>
  </si>
  <si>
    <t>Anul 2017</t>
  </si>
  <si>
    <t>Anul 2018</t>
  </si>
  <si>
    <t>Anul 2019</t>
  </si>
  <si>
    <t>Anul 2020</t>
  </si>
  <si>
    <t>Anul 2021</t>
  </si>
  <si>
    <t>Anul 2022</t>
  </si>
  <si>
    <t>UM: Milioane lei</t>
  </si>
  <si>
    <t>Milioane lei</t>
  </si>
  <si>
    <t>Produs intern brut regional (PIBR) - total</t>
  </si>
  <si>
    <t>Cluj</t>
  </si>
  <si>
    <t>Sexe</t>
  </si>
  <si>
    <t>UM: Mii persoane</t>
  </si>
  <si>
    <t>Mii persoane</t>
  </si>
  <si>
    <t>TOTAL</t>
  </si>
  <si>
    <t>Total</t>
  </si>
  <si>
    <t xml:space="preserve">POPULATIA OCUPATA CIVILA </t>
  </si>
  <si>
    <t>Varste si grupe de varsta</t>
  </si>
  <si>
    <t>Medii de rezidenta</t>
  </si>
  <si>
    <t>UM: Numar persoane</t>
  </si>
  <si>
    <t>Numar persoane</t>
  </si>
  <si>
    <t>POPULATIA REZIDENTA</t>
  </si>
  <si>
    <t>Categorii de resurse</t>
  </si>
  <si>
    <t xml:space="preserve">Produsul intern brut regional - CLUJ </t>
  </si>
  <si>
    <t>PIBR</t>
  </si>
  <si>
    <t>Populatia ocupata civila</t>
  </si>
  <si>
    <t>PO</t>
  </si>
  <si>
    <t xml:space="preserve">Populatia rezidenta </t>
  </si>
  <si>
    <t>PR</t>
  </si>
  <si>
    <t>mii persoane</t>
  </si>
  <si>
    <t>milioane lei</t>
  </si>
  <si>
    <t>PIB per cap de locuitor</t>
  </si>
  <si>
    <t>PIBR/PR</t>
  </si>
  <si>
    <t>Notatie/Formula</t>
  </si>
  <si>
    <t>U.M.</t>
  </si>
  <si>
    <t>lei/locuitor</t>
  </si>
  <si>
    <t>Productivitatea muncii</t>
  </si>
  <si>
    <t>mii lei/persoana ocupata</t>
  </si>
  <si>
    <t xml:space="preserve"> persoane</t>
  </si>
  <si>
    <t>Rata de ocupare a populatiei</t>
  </si>
  <si>
    <t>RO = PO / PR</t>
  </si>
  <si>
    <t>Indicele de crestere al PIBR</t>
  </si>
  <si>
    <t>IPIB = PIB1 / PIB0 *100</t>
  </si>
  <si>
    <t>Indicele productivitatii muncii</t>
  </si>
  <si>
    <t>IPM = PM1 / PM0 *100</t>
  </si>
  <si>
    <t>%</t>
  </si>
  <si>
    <t>PM = PIBR/PO</t>
  </si>
  <si>
    <t xml:space="preserve">Rezultatele cautarii - Indicii preturilor de consum pe principalele marfuri si servicii - evolutia lunara fata de luna corespunzatoare din anul precedent</t>
  </si>
  <si>
    <t xml:space="preserve">Categorii de marfuri si servicii cumparate</t>
  </si>
  <si>
    <t xml:space="preserve">Luna ianuarie 2016</t>
  </si>
  <si>
    <t xml:space="preserve">Luna februarie 2016</t>
  </si>
  <si>
    <t xml:space="preserve">Luna martie 2016</t>
  </si>
  <si>
    <t xml:space="preserve">Luna aprilie 2016</t>
  </si>
  <si>
    <t xml:space="preserve">Luna mai 2016</t>
  </si>
  <si>
    <t xml:space="preserve">Luna iunie 2016</t>
  </si>
  <si>
    <t xml:space="preserve">Luna iulie 2016</t>
  </si>
  <si>
    <t xml:space="preserve">Luna august 2016</t>
  </si>
  <si>
    <t xml:space="preserve">Luna septembrie 2016</t>
  </si>
  <si>
    <t xml:space="preserve">Luna octombrie 2016</t>
  </si>
  <si>
    <t xml:space="preserve">Luna noiembrie 2016</t>
  </si>
  <si>
    <t xml:space="preserve">Luna decembrie 2016</t>
  </si>
  <si>
    <t xml:space="preserve">Luna ianuarie 2017</t>
  </si>
  <si>
    <t xml:space="preserve">Luna februarie 2017</t>
  </si>
  <si>
    <t xml:space="preserve">Luna martie 2017</t>
  </si>
  <si>
    <t xml:space="preserve">Luna aprilie 2017</t>
  </si>
  <si>
    <t xml:space="preserve">Luna mai 2017</t>
  </si>
  <si>
    <t xml:space="preserve">Luna iunie 2017</t>
  </si>
  <si>
    <t xml:space="preserve">Luna iulie 2017</t>
  </si>
  <si>
    <t xml:space="preserve">Luna august 2017</t>
  </si>
  <si>
    <t xml:space="preserve">Luna septembrie 2017</t>
  </si>
  <si>
    <t xml:space="preserve">Luna octombrie 2017</t>
  </si>
  <si>
    <t xml:space="preserve">Luna noiembrie 2017</t>
  </si>
  <si>
    <t xml:space="preserve">Luna decembrie 2017</t>
  </si>
  <si>
    <t xml:space="preserve">Luna ianuarie 2018</t>
  </si>
  <si>
    <t xml:space="preserve">Luna februarie 2018</t>
  </si>
  <si>
    <t xml:space="preserve">Luna martie 2018</t>
  </si>
  <si>
    <t xml:space="preserve">Luna aprilie 2018</t>
  </si>
  <si>
    <t xml:space="preserve">Luna mai 2018</t>
  </si>
  <si>
    <t xml:space="preserve">Luna iunie 2018</t>
  </si>
  <si>
    <t xml:space="preserve">Luna iulie 2018</t>
  </si>
  <si>
    <t xml:space="preserve">Luna august 2018</t>
  </si>
  <si>
    <t xml:space="preserve">Luna septembrie 2018</t>
  </si>
  <si>
    <t xml:space="preserve">Luna octombrie 2018</t>
  </si>
  <si>
    <t xml:space="preserve">Luna noiembrie 2018</t>
  </si>
  <si>
    <t xml:space="preserve">Luna decembrie 2018</t>
  </si>
  <si>
    <t xml:space="preserve">Luna ianuarie 2019</t>
  </si>
  <si>
    <t xml:space="preserve">Luna februarie 2019</t>
  </si>
  <si>
    <t xml:space="preserve">Luna martie 2019</t>
  </si>
  <si>
    <t xml:space="preserve">Luna aprilie 2019</t>
  </si>
  <si>
    <t xml:space="preserve">Luna mai 2019</t>
  </si>
  <si>
    <t xml:space="preserve">Luna iunie 2019</t>
  </si>
  <si>
    <t xml:space="preserve">Luna iulie 2019</t>
  </si>
  <si>
    <t xml:space="preserve">Luna august 2019</t>
  </si>
  <si>
    <t xml:space="preserve">Luna septembrie 2019</t>
  </si>
  <si>
    <t xml:space="preserve">Luna octombrie 2019</t>
  </si>
  <si>
    <t xml:space="preserve">Luna noiembrie 2019</t>
  </si>
  <si>
    <t xml:space="preserve">Luna decembrie 2019</t>
  </si>
  <si>
    <t xml:space="preserve">Luna ianuarie 2020</t>
  </si>
  <si>
    <t xml:space="preserve">Luna februarie 2020</t>
  </si>
  <si>
    <t xml:space="preserve">Luna martie 2020</t>
  </si>
  <si>
    <t xml:space="preserve">Luna aprilie 2020</t>
  </si>
  <si>
    <t xml:space="preserve">Luna mai 2020</t>
  </si>
  <si>
    <t xml:space="preserve">Luna iunie 2020</t>
  </si>
  <si>
    <t xml:space="preserve">Luna iulie 2020</t>
  </si>
  <si>
    <t xml:space="preserve">Luna august 2020</t>
  </si>
  <si>
    <t xml:space="preserve">Luna septembrie 2020</t>
  </si>
  <si>
    <t xml:space="preserve">Luna octombrie 2020</t>
  </si>
  <si>
    <t xml:space="preserve">Luna noiembrie 2020</t>
  </si>
  <si>
    <t xml:space="preserve">Luna decembrie 2020</t>
  </si>
  <si>
    <t xml:space="preserve">Luna ianuarie 2021</t>
  </si>
  <si>
    <t xml:space="preserve">Luna februarie 2021</t>
  </si>
  <si>
    <t xml:space="preserve">Luna martie 2021</t>
  </si>
  <si>
    <t xml:space="preserve">Luna aprilie 2021</t>
  </si>
  <si>
    <t xml:space="preserve">Luna mai 2021</t>
  </si>
  <si>
    <t xml:space="preserve">Luna iunie 2021</t>
  </si>
  <si>
    <t xml:space="preserve">Luna iulie 2021</t>
  </si>
  <si>
    <t xml:space="preserve">Luna august 2021</t>
  </si>
  <si>
    <t xml:space="preserve">Luna septembrie 2021</t>
  </si>
  <si>
    <t xml:space="preserve">Luna octombrie 2021</t>
  </si>
  <si>
    <t xml:space="preserve">Luna noiembrie 2021</t>
  </si>
  <si>
    <t xml:space="preserve">Luna decembrie 2021</t>
  </si>
  <si>
    <t xml:space="preserve">Luna ianuarie 2022</t>
  </si>
  <si>
    <t xml:space="preserve">Luna februarie 2022</t>
  </si>
  <si>
    <t xml:space="preserve">Luna martie 2022</t>
  </si>
  <si>
    <t xml:space="preserve">Luna aprilie 2022</t>
  </si>
  <si>
    <t xml:space="preserve">Luna mai 2022</t>
  </si>
  <si>
    <t xml:space="preserve">Luna iunie 2022</t>
  </si>
  <si>
    <t xml:space="preserve">Luna iulie 2022</t>
  </si>
  <si>
    <t xml:space="preserve">Luna august 2022</t>
  </si>
  <si>
    <t xml:space="preserve">Luna septembrie 2022</t>
  </si>
  <si>
    <t xml:space="preserve">Luna octombrie 2022</t>
  </si>
  <si>
    <t xml:space="preserve">Luna noiembrie 2022</t>
  </si>
  <si>
    <t xml:space="preserve">Luna decembrie 2022</t>
  </si>
  <si>
    <t xml:space="preserve">UM: Procente</t>
  </si>
  <si>
    <t xml:space="preserve">Indicele preturilor de consum (anul precedent = 100)</t>
  </si>
  <si>
    <t xml:space="preserve">IPC</t>
  </si>
  <si>
    <t xml:space="preserve">Indicele preturilor de consum (2015 = 100)</t>
  </si>
  <si>
    <t xml:space="preserve">IPC15 = IPC15(t-1) * IPC / 100</t>
  </si>
  <si>
    <t xml:space="preserve">PIB per cap de locuitor in preturile anului 2015</t>
  </si>
  <si>
    <t xml:space="preserve">PIBloc / IPC15 * 100</t>
  </si>
  <si>
    <t xml:space="preserve">Productivitatea muncii in preturile anului 2015</t>
  </si>
  <si>
    <t xml:space="preserve">PM / IPC15 * 100</t>
  </si>
  <si>
    <t xml:space="preserve">Indicele real de crestere al PIBR</t>
  </si>
  <si>
    <t xml:space="preserve">IPIB real = IPIB / IPC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</si>
</sst>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8"/>
      <color theme="1"/>
      <name val="Cambria"/>
      <family val="1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z val="18"/>
      <color theme="1"/>
      <name val="Cambria"/>
      <family val="1"/>
    </font>
    <font>
      <b/>
      <sz val="20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86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B8CC"/>
        <bgColor indexed="64"/>
      </patternFill>
    </fill>
  </fills>
  <borders count="4">
    <border>
      <left/>
      <right/>
      <top/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wrapText="1"/>
    </xf>
    <xf numFmtId="0" fontId="0" fillId="3" borderId="0" xfId="0" applyFill="1"/>
    <xf numFmtId="0" fontId="3" fillId="0" borderId="0" xfId="0" applyFont="1" applyAlignment="1">
      <alignment horizontal="center"/>
    </xf>
    <xf numFmtId="2" fontId="5" fillId="0" borderId="0" xfId="0" applyNumberFormat="1" applyFont="1" applyAlignment="1">
      <alignment horizontal="right" wrapText="1"/>
    </xf>
    <xf numFmtId="2" fontId="6" fillId="0" borderId="0" xfId="0" applyNumberFormat="1" applyFont="1" applyAlignment="1">
      <alignment horizontal="right" wrapText="1"/>
    </xf>
    <xf numFmtId="2" fontId="7" fillId="0" borderId="0" xfId="0" applyNumberFormat="1" applyFont="1" applyAlignment="1">
      <alignment horizontal="right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right" wrapText="1"/>
    </xf>
    <xf numFmtId="0" fontId="10" fillId="0" borderId="0" xfId="0" applyFont="1" applyAlignment="1">
      <alignment horizontal="right" wrapText="1"/>
    </xf>
    <xf numFmtId="0" fontId="4" fillId="4" borderId="0" xfId="0" applyFont="1" applyFill="1" applyAlignment="1">
      <alignment horizontal="center" vertical="center"/>
    </xf>
    <xf numFmtId="10" fontId="5" fillId="0" borderId="0" xfId="0" applyNumberFormat="1" applyFont="1" applyAlignment="1">
      <alignment horizontal="right" wrapText="1"/>
    </xf>
    <xf numFmtId="0" fontId="11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B8CC"/>
      <color rgb="FFF6DBED"/>
      <color rgb="FFE586E9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cap="none" spc="0" normalizeH="0" baseline="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ea typeface="+mj-ea"/>
                <a:cs typeface="Times New Roman" panose="02020603050405020304" pitchFamily="18" charset="0"/>
              </a:defRPr>
            </a:pPr>
            <a:r>
              <a:rPr lang="en-GB" sz="2400" b="1"/>
              <a:t>Evoluția Produsului Intern Brut Regional în județul Cluj (2015–2022)</a:t>
            </a:r>
            <a:endParaRPr lang="en-GB" sz="2400"/>
          </a:p>
          <a:p>
            <a:pPr>
              <a:defRPr sz="24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GB" sz="24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5802954072590683"/>
          <c:y val="1.32612976858513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cap="none" spc="0" normalizeH="0" baseline="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ea typeface="+mj-ea"/>
              <a:cs typeface="Times New Roman" panose="02020603050405020304" pitchFamily="18" charset="0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R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Sheet1!$C$26:$J$26</c:f>
              <c:strCache>
                <c:ptCount val="8"/>
                <c:pt idx="0">
                  <c:v>Anul 2015</c:v>
                </c:pt>
                <c:pt idx="1">
                  <c:v>Anul 2016</c:v>
                </c:pt>
                <c:pt idx="2">
                  <c:v>Anul 2017</c:v>
                </c:pt>
                <c:pt idx="3">
                  <c:v>Anul 2018</c:v>
                </c:pt>
                <c:pt idx="4">
                  <c:v>Anul 2019</c:v>
                </c:pt>
                <c:pt idx="5">
                  <c:v>Anul 2020</c:v>
                </c:pt>
                <c:pt idx="6">
                  <c:v>Anul 2021</c:v>
                </c:pt>
                <c:pt idx="7">
                  <c:v>Anul 2022</c:v>
                </c:pt>
              </c:strCache>
            </c:strRef>
          </c:cat>
          <c:val>
            <c:numRef>
              <c:f>Sheet1!$C$28:$J$28</c:f>
              <c:numCache>
                <c:formatCode>General</c:formatCode>
                <c:ptCount val="8"/>
                <c:pt idx="0">
                  <c:v>31027.9</c:v>
                </c:pt>
                <c:pt idx="1">
                  <c:v>35300.9</c:v>
                </c:pt>
                <c:pt idx="2">
                  <c:v>42764.2</c:v>
                </c:pt>
                <c:pt idx="3">
                  <c:v>47370.400000000001</c:v>
                </c:pt>
                <c:pt idx="4">
                  <c:v>53776.4</c:v>
                </c:pt>
                <c:pt idx="5">
                  <c:v>55902.400000000001</c:v>
                </c:pt>
                <c:pt idx="6">
                  <c:v>61896.6</c:v>
                </c:pt>
                <c:pt idx="7">
                  <c:v>74302.7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7E-A344-BFA4-15551A8771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70199087"/>
        <c:axId val="1370200799"/>
      </c:lineChart>
      <c:catAx>
        <c:axId val="137019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normalizeH="0" baseline="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RO"/>
          </a:p>
        </c:txPr>
        <c:crossAx val="1370200799"/>
        <c:crosses val="autoZero"/>
        <c:auto val="1"/>
        <c:lblAlgn val="ctr"/>
        <c:lblOffset val="100"/>
        <c:noMultiLvlLbl val="0"/>
      </c:catAx>
      <c:valAx>
        <c:axId val="137020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400"/>
                  <a:t>PIB regional (milioane lei)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GB" sz="14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1" i="0" u="none" strike="noStrike" kern="1200" baseline="0">
                  <a:ln>
                    <a:noFill/>
                  </a:ln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R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RO"/>
          </a:p>
        </c:txPr>
        <c:crossAx val="1370199087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rgbClr val="EFB8CC"/>
    </a:solidFill>
    <a:ln w="9525" cap="flat" cmpd="sng" algn="ctr">
      <a:solidFill>
        <a:schemeClr val="accent5"/>
      </a:solidFill>
      <a:round/>
    </a:ln>
    <a:effectLst/>
  </c:spPr>
  <c:txPr>
    <a:bodyPr rot="0" vert="horz"/>
    <a:lstStyle/>
    <a:p>
      <a:pPr>
        <a:defRPr>
          <a:ln>
            <a:noFill/>
          </a:ln>
          <a:solidFill>
            <a:schemeClr val="tx1"/>
          </a:solidFill>
        </a:defRPr>
      </a:pPr>
      <a:endParaRPr lang="en-R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Evoluția PIB-ului pe cap de locuitor în județul Cluj (2015–2022)</a:t>
            </a:r>
            <a:endParaRPr lang="en-GB" sz="2000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GB" sz="2000"/>
          </a:p>
        </c:rich>
      </c:tx>
      <c:layout>
        <c:manualLayout>
          <c:xMode val="edge"/>
          <c:yMode val="edge"/>
          <c:x val="0.1968453484218928"/>
          <c:y val="8.888888888888888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 preturi curente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Sheet1!$C$26:$J$26</c:f>
              <c:strCache>
                <c:ptCount val="8"/>
                <c:pt idx="0">
                  <c:v>Anul 2015</c:v>
                </c:pt>
                <c:pt idx="1">
                  <c:v>Anul 2016</c:v>
                </c:pt>
                <c:pt idx="2">
                  <c:v>Anul 2017</c:v>
                </c:pt>
                <c:pt idx="3">
                  <c:v>Anul 2018</c:v>
                </c:pt>
                <c:pt idx="4">
                  <c:v>Anul 2019</c:v>
                </c:pt>
                <c:pt idx="5">
                  <c:v>Anul 2020</c:v>
                </c:pt>
                <c:pt idx="6">
                  <c:v>Anul 2021</c:v>
                </c:pt>
                <c:pt idx="7">
                  <c:v>Anul 2022</c:v>
                </c:pt>
              </c:strCache>
            </c:strRef>
          </c:cat>
          <c:val>
            <c:numRef>
              <c:f>Sheet1!$C$31:$J$31</c:f>
              <c:numCache>
                <c:formatCode>0.00</c:formatCode>
                <c:ptCount val="8"/>
                <c:pt idx="0">
                  <c:v>44263.476094963924</c:v>
                </c:pt>
                <c:pt idx="1">
                  <c:v>50339.390067564294</c:v>
                </c:pt>
                <c:pt idx="2">
                  <c:v>60850.052648054865</c:v>
                </c:pt>
                <c:pt idx="3">
                  <c:v>67228.38867529828</c:v>
                </c:pt>
                <c:pt idx="4">
                  <c:v>76067.96501035431</c:v>
                </c:pt>
                <c:pt idx="5">
                  <c:v>78749.971825906643</c:v>
                </c:pt>
                <c:pt idx="6">
                  <c:v>87096.855898145965</c:v>
                </c:pt>
                <c:pt idx="7">
                  <c:v>108784.26653080108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21-964D-8D87-7F7491A6090A}"/>
            </c:ext>
          </c:extLst>
        </c:ser>
        <c:ser>
          <c:idx val="1"/>
          <c:order val="1"/>
          <c:tx>
            <c:v>in preturile anului 2015</c:v>
          </c:tx>
          <c:spPr>
            <a:ln w="25400" cap="rnd">
              <a:solidFill>
                <a:srgbClr val="B04AA9"/>
              </a:solidFill>
              <a:prstDash val="dash"/>
              <a:round/>
            </a:ln>
            <a:effectLst/>
          </c:spPr>
          <c:marker>
            <c:symbol val="diamond"/>
            <c:size val="6"/>
            <c:spPr>
              <a:solidFill>
                <a:srgbClr val="B04AA9"/>
              </a:solidFill>
              <a:ln w="9525">
                <a:solidFill>
                  <a:srgbClr val="B04AA9"/>
                </a:solidFill>
              </a:ln>
            </c:spPr>
          </c:marker>
          <c:cat>
            <c:strRef>
              <c:f>Sheet1!$C$26:$J$26</c:f>
              <c:strCache>
                <c:ptCount val="8"/>
                <c:pt idx="0">
                  <c:v>Anul 2015</c:v>
                </c:pt>
                <c:pt idx="1">
                  <c:v>Anul 2016</c:v>
                </c:pt>
                <c:pt idx="2">
                  <c:v>Anul 2017</c:v>
                </c:pt>
                <c:pt idx="3">
                  <c:v>Anul 2018</c:v>
                </c:pt>
                <c:pt idx="4">
                  <c:v>Anul 2019</c:v>
                </c:pt>
                <c:pt idx="5">
                  <c:v>Anul 2020</c:v>
                </c:pt>
                <c:pt idx="6">
                  <c:v>Anul 2021</c:v>
                </c:pt>
                <c:pt idx="7">
                  <c:v>Anul 2022</c:v>
                </c:pt>
              </c:strCache>
            </c:strRef>
          </c:cat>
          <c:val>
            <c:numRef>
              <c:f>Sheet1!$C$38:$J$38</c:f>
              <c:numCache>
                <c:formatCode>0.00</c:formatCode>
                <c:ptCount val="8"/>
                <c:pt idx="0">
                  <c:v>44263.476094963924</c:v>
                </c:pt>
                <c:pt idx="1">
                  <c:v>51122.84770870012</c:v>
                </c:pt>
                <c:pt idx="2">
                  <c:v>60981.46599216424</c:v>
                </c:pt>
                <c:pt idx="3">
                  <c:v>64389.140190666025</c:v>
                </c:pt>
                <c:pt idx="4">
                  <c:v>70169.08912858246</c:v>
                </c:pt>
                <c:pt idx="5">
                  <c:v>70779.83405258771</c:v>
                </c:pt>
                <c:pt idx="6">
                  <c:v>74521.70454690575</c:v>
                </c:pt>
                <c:pt idx="7">
                  <c:v>81830.28714685193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21-964D-8D87-7F7491A60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5308271"/>
        <c:axId val="1435309983"/>
      </c:lineChart>
      <c:catAx>
        <c:axId val="143530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1435309983"/>
        <c:crosses val="autoZero"/>
        <c:auto val="1"/>
        <c:lblAlgn val="ctr"/>
        <c:lblOffset val="100"/>
        <c:noMultiLvlLbl val="0"/>
      </c:catAx>
      <c:valAx>
        <c:axId val="143530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/>
                  <a:t>PIB</a:t>
                </a:r>
                <a:r>
                  <a:rPr lang="en-GB" sz="1800" baseline="0"/>
                  <a:t> per cap de locuitor (lei/locuitor)</a:t>
                </a:r>
              </a:p>
              <a:p>
                <a:pPr>
                  <a:defRPr sz="1800"/>
                </a:pPr>
                <a:endParaRPr lang="en-GB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1435308271"/>
        <c:crosses val="autoZero"/>
        <c:crossBetween val="between"/>
      </c:valAx>
      <c:spPr>
        <a:solidFill>
          <a:srgbClr val="EFB8CC"/>
        </a:solidFill>
        <a:ln w="60325" cap="sq">
          <a:solidFill>
            <a:srgbClr val="E586E9"/>
          </a:solidFill>
        </a:ln>
        <a:effectLst/>
      </c:spPr>
    </c:plotArea>
    <c:legend>
      <c:legendPos val="b"/>
      <c:overlay val="0"/>
      <c:txPr>
        <a:bodyPr/>
        <a:lstStyle/>
        <a:p>
          <a:pPr>
            <a:defRPr sz="1400"/>
          </a:pPr>
          <a:endParaRPr lang="en-R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2800" b="1">
                <a:latin typeface="Times New Roman" panose="02020603050405020304" pitchFamily="18" charset="0"/>
                <a:cs typeface="Times New Roman" panose="02020603050405020304" pitchFamily="18" charset="0"/>
              </a:rPr>
              <a:t>Evoluția productivității muncii în județul Cluj (2015–2022)</a:t>
            </a:r>
            <a:endParaRPr lang="en-GB" sz="2800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80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GB" sz="28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1850990881984139"/>
          <c:y val="0.13640934924733328"/>
          <c:w val="0.81266310569354394"/>
          <c:h val="0.77970989447296801"/>
        </c:manualLayout>
      </c:layout>
      <c:areaChart>
        <c:grouping val="standard"/>
        <c:varyColors val="0"/>
        <c:ser>
          <c:idx val="0"/>
          <c:order val="0"/>
          <c:tx>
            <c:v>in preturi curente</c:v>
          </c:tx>
          <c:spPr>
            <a:solidFill>
              <a:srgbClr val="E586E9"/>
            </a:solidFill>
            <a:ln>
              <a:noFill/>
            </a:ln>
            <a:effectLst/>
          </c:spPr>
          <c:cat>
            <c:strRef>
              <c:f>Sheet1!$C$26:$J$26</c:f>
              <c:strCache>
                <c:ptCount val="8"/>
                <c:pt idx="0">
                  <c:v>Anul 2015</c:v>
                </c:pt>
                <c:pt idx="1">
                  <c:v>Anul 2016</c:v>
                </c:pt>
                <c:pt idx="2">
                  <c:v>Anul 2017</c:v>
                </c:pt>
                <c:pt idx="3">
                  <c:v>Anul 2018</c:v>
                </c:pt>
                <c:pt idx="4">
                  <c:v>Anul 2019</c:v>
                </c:pt>
                <c:pt idx="5">
                  <c:v>Anul 2020</c:v>
                </c:pt>
                <c:pt idx="6">
                  <c:v>Anul 2021</c:v>
                </c:pt>
                <c:pt idx="7">
                  <c:v>Anul 2022</c:v>
                </c:pt>
              </c:strCache>
            </c:strRef>
          </c:cat>
          <c:val>
            <c:numRef>
              <c:f>Sheet1!$C$32:$J$32</c:f>
              <c:numCache>
                <c:formatCode>0.00</c:formatCode>
                <c:ptCount val="8"/>
                <c:pt idx="0">
                  <c:v>89.883835457705686</c:v>
                </c:pt>
                <c:pt idx="1">
                  <c:v>100.1159954622802</c:v>
                </c:pt>
                <c:pt idx="2">
                  <c:v>119.31975446428571</c:v>
                </c:pt>
                <c:pt idx="3">
                  <c:v>131.11098809853308</c:v>
                </c:pt>
                <c:pt idx="4">
                  <c:v>145.73550135501355</c:v>
                </c:pt>
                <c:pt idx="5">
                  <c:v>151.57917570498915</c:v>
                </c:pt>
                <c:pt idx="6">
                  <c:v>178.84021958971394</c:v>
                </c:pt>
                <c:pt idx="7">
                  <c:v>208.13081232492996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5-C84A-9609-95806BF36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487903"/>
        <c:axId val="1797038079"/>
      </c:areaChart>
      <c:lineChart>
        <c:grouping val="standard"/>
        <c:varyColors val="0"/>
        <c:ser>
          <c:idx val="1"/>
          <c:order val="1"/>
          <c:tx>
            <c:v>in preturile anului 2015</c:v>
          </c:tx>
          <c:spPr>
            <a:ln w="31750" cap="rnd">
              <a:solidFill>
                <a:srgbClr val="8E3B8C"/>
              </a:solidFill>
              <a:prstDash val="dash"/>
              <a:round/>
            </a:ln>
            <a:effectLst/>
          </c:spPr>
          <c:marker>
            <c:symbol val="circle"/>
            <c:size val="6"/>
            <c:spPr>
              <a:solidFill>
                <a:srgbClr val="FFFFFF"/>
              </a:solidFill>
              <a:ln w="15875">
                <a:solidFill>
                  <a:srgbClr val="8E3B8C"/>
                </a:solidFill>
              </a:ln>
            </c:spPr>
          </c:marker>
          <c:cat>
            <c:strRef>
              <c:f>Sheet1!$C$26:$J$26</c:f>
              <c:strCache>
                <c:ptCount val="8"/>
                <c:pt idx="0">
                  <c:v>Anul 2015</c:v>
                </c:pt>
                <c:pt idx="1">
                  <c:v>Anul 2016</c:v>
                </c:pt>
                <c:pt idx="2">
                  <c:v>Anul 2017</c:v>
                </c:pt>
                <c:pt idx="3">
                  <c:v>Anul 2018</c:v>
                </c:pt>
                <c:pt idx="4">
                  <c:v>Anul 2019</c:v>
                </c:pt>
                <c:pt idx="5">
                  <c:v>Anul 2020</c:v>
                </c:pt>
                <c:pt idx="6">
                  <c:v>Anul 2021</c:v>
                </c:pt>
                <c:pt idx="7">
                  <c:v>Anul 2022</c:v>
                </c:pt>
              </c:strCache>
            </c:strRef>
          </c:cat>
          <c:val>
            <c:numRef>
              <c:f>Sheet1!$C$39:$J$39</c:f>
              <c:numCache>
                <c:formatCode>0.00</c:formatCode>
                <c:ptCount val="8"/>
                <c:pt idx="0">
                  <c:v>89.88383545770569</c:v>
                </c:pt>
                <c:pt idx="1">
                  <c:v>101.67415183921618</c:v>
                </c:pt>
                <c:pt idx="2">
                  <c:v>119.57744048541625</c:v>
                </c:pt>
                <c:pt idx="3">
                  <c:v>125.57379344590896</c:v>
                </c:pt>
                <c:pt idx="4">
                  <c:v>134.43408644344072</c:v>
                </c:pt>
                <c:pt idx="5">
                  <c:v>136.2381300395297</c:v>
                </c:pt>
                <c:pt idx="6">
                  <c:v>153.019048367877</c:v>
                </c:pt>
                <c:pt idx="7">
                  <c:v>156.56128114661055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21-964D-8D87-7F7491A6090B}"/>
            </c:ext>
          </c:extLst>
        </c:ser>
        <c:marker val="1"/>
        <c:axId val="1796487903"/>
        <c:axId val="1797038079"/>
      </c:lineChart>
      <c:catAx>
        <c:axId val="17964879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1797038079"/>
        <c:crosses val="autoZero"/>
        <c:auto val="1"/>
        <c:lblAlgn val="ctr"/>
        <c:lblOffset val="100"/>
        <c:noMultiLvlLbl val="0"/>
      </c:catAx>
      <c:valAx>
        <c:axId val="179703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/>
                  <a:t>mii lei/persoana ocupata</a:t>
                </a:r>
              </a:p>
              <a:p>
                <a:pPr>
                  <a:defRPr sz="2000"/>
                </a:pPr>
                <a:endParaRPr lang="en-GB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1796487903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txPr>
        <a:bodyPr/>
        <a:lstStyle/>
        <a:p>
          <a:pPr>
            <a:defRPr sz="1400"/>
          </a:pPr>
          <a:endParaRPr lang="en-RO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57150" cap="flat" cmpd="sng" algn="ctr">
      <a:solidFill>
        <a:srgbClr val="EFB8CC"/>
      </a:solidFill>
      <a:round/>
    </a:ln>
    <a:effectLst/>
  </c:spPr>
  <c:txPr>
    <a:bodyPr/>
    <a:lstStyle/>
    <a:p>
      <a:pPr>
        <a:defRPr/>
      </a:pPr>
      <a:endParaRPr lang="en-R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800" b="1">
                <a:solidFill>
                  <a:schemeClr val="tx1"/>
                </a:solidFill>
              </a:rPr>
              <a:t>Evoluția ratei de ocupare a populației în județul Cluj (2015–2022)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RO"/>
        </a:p>
      </c:txPr>
    </c:title>
    <c:autoTitleDeleted val="0"/>
    <c:plotArea>
      <c:layout>
        <c:manualLayout>
          <c:layoutTarget val="inner"/>
          <c:xMode val="edge"/>
          <c:yMode val="edge"/>
          <c:x val="0.10342825896762904"/>
          <c:y val="0.17578703703703702"/>
          <c:w val="0.85212729658792652"/>
          <c:h val="0.6986654272382618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E586E9"/>
            </a:solid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R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Sheet1!$C$26:$J$26</c:f>
              <c:strCache>
                <c:ptCount val="8"/>
                <c:pt idx="0">
                  <c:v>Anul 2015</c:v>
                </c:pt>
                <c:pt idx="1">
                  <c:v>Anul 2016</c:v>
                </c:pt>
                <c:pt idx="2">
                  <c:v>Anul 2017</c:v>
                </c:pt>
                <c:pt idx="3">
                  <c:v>Anul 2018</c:v>
                </c:pt>
                <c:pt idx="4">
                  <c:v>Anul 2019</c:v>
                </c:pt>
                <c:pt idx="5">
                  <c:v>Anul 2020</c:v>
                </c:pt>
                <c:pt idx="6">
                  <c:v>Anul 2021</c:v>
                </c:pt>
                <c:pt idx="7">
                  <c:v>Anul 2022</c:v>
                </c:pt>
              </c:strCache>
            </c:strRef>
          </c:cat>
          <c:val>
            <c:numRef>
              <c:f>Sheet1!$C$33:$J$33</c:f>
              <c:numCache>
                <c:formatCode>0.00%</c:formatCode>
                <c:ptCount val="8"/>
                <c:pt idx="0">
                  <c:v>0.49245201731285537</c:v>
                </c:pt>
                <c:pt idx="1">
                  <c:v>0.50281066312255973</c:v>
                </c:pt>
                <c:pt idx="2">
                  <c:v>0.50997467201684743</c:v>
                </c:pt>
                <c:pt idx="3">
                  <c:v>0.51275937776301805</c:v>
                </c:pt>
                <c:pt idx="4">
                  <c:v>0.52195905804071563</c:v>
                </c:pt>
                <c:pt idx="5">
                  <c:v>0.51953028151554081</c:v>
                </c:pt>
                <c:pt idx="6">
                  <c:v>0.48700933211756892</c:v>
                </c:pt>
                <c:pt idx="7">
                  <c:v>0.52267256979216081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D9-4E4A-B312-FBBF234E51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435175951"/>
        <c:axId val="1819883039"/>
      </c:barChart>
      <c:catAx>
        <c:axId val="143517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1819883039"/>
        <c:crosses val="autoZero"/>
        <c:auto val="1"/>
        <c:lblAlgn val="ctr"/>
        <c:lblOffset val="100"/>
        <c:noMultiLvlLbl val="0"/>
      </c:catAx>
      <c:valAx>
        <c:axId val="1819883039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1435175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6DBED"/>
    </a:solidFill>
    <a:ln w="142875" cap="flat" cmpd="sng" algn="ctr">
      <a:solidFill>
        <a:srgbClr val="E586E9"/>
      </a:solidFill>
      <a:round/>
    </a:ln>
    <a:effectLst/>
  </c:spPr>
  <c:txPr>
    <a:bodyPr/>
    <a:lstStyle/>
    <a:p>
      <a:pPr>
        <a:defRPr/>
      </a:pPr>
      <a:endParaRPr lang="en-R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800" b="1">
                <a:solidFill>
                  <a:schemeClr val="tx1"/>
                </a:solidFill>
                <a:effectLst/>
              </a:rPr>
              <a:t>Evoluția indicelui de creștere al PIB-ului regional în județul Cluj (2016–2022)</a:t>
            </a:r>
            <a:endParaRPr lang="en-GB" sz="2800">
              <a:solidFill>
                <a:schemeClr val="tx1"/>
              </a:solidFill>
              <a:effectLst/>
            </a:endParaRPr>
          </a:p>
        </c:rich>
      </c:tx>
      <c:overlay val="0"/>
      <c:spPr>
        <a:solidFill>
          <a:srgbClr val="F6DBED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1374759405074365"/>
          <c:y val="0.15317147856517935"/>
          <c:w val="0.85847462817147857"/>
          <c:h val="0.72128098571011956"/>
        </c:manualLayout>
      </c:layout>
      <c:barChart>
        <c:barDir val="col"/>
        <c:grouping val="clustered"/>
        <c:varyColors val="0"/>
        <c:ser>
          <c:idx val="0"/>
          <c:order val="0"/>
          <c:tx>
            <c:v>nominal</c:v>
          </c:tx>
          <c:spPr>
            <a:solidFill>
              <a:srgbClr val="F6DBED"/>
            </a:solidFill>
            <a:ln>
              <a:noFill/>
            </a:ln>
            <a:effectLst/>
          </c:spPr>
          <c:invertIfNegative val="0"/>
          <c:cat>
            <c:strRef>
              <c:f>Sheet1!$D$26:$J$26</c:f>
              <c:strCache>
                <c:ptCount val="7"/>
                <c:pt idx="0">
                  <c:v>Anul 2016</c:v>
                </c:pt>
                <c:pt idx="1">
                  <c:v>Anul 2017</c:v>
                </c:pt>
                <c:pt idx="2">
                  <c:v>Anul 2018</c:v>
                </c:pt>
                <c:pt idx="3">
                  <c:v>Anul 2019</c:v>
                </c:pt>
                <c:pt idx="4">
                  <c:v>Anul 2020</c:v>
                </c:pt>
                <c:pt idx="5">
                  <c:v>Anul 2021</c:v>
                </c:pt>
                <c:pt idx="6">
                  <c:v>Anul 2022</c:v>
                </c:pt>
              </c:strCache>
            </c:strRef>
          </c:cat>
          <c:val>
            <c:numRef>
              <c:f>Sheet1!$D$34:$J$34</c:f>
              <c:numCache>
                <c:formatCode>0.00</c:formatCode>
                <c:ptCount val="7"/>
                <c:pt idx="0">
                  <c:v>113.77147663876706</c:v>
                </c:pt>
                <c:pt idx="1">
                  <c:v>121.14195388786119</c:v>
                </c:pt>
                <c:pt idx="2">
                  <c:v>110.77115905360091</c:v>
                </c:pt>
                <c:pt idx="3">
                  <c:v>113.52321280799825</c:v>
                </c:pt>
                <c:pt idx="4">
                  <c:v>103.95340707075967</c:v>
                </c:pt>
                <c:pt idx="5">
                  <c:v>110.72261656029079</c:v>
                </c:pt>
                <c:pt idx="6">
                  <c:v>120.04326570441673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E-7A40-9FF3-0B489A0E21C1}"/>
            </c:ext>
          </c:extLst>
        </c:ser>
        <c:ser>
          <c:idx val="1"/>
          <c:order val="1"/>
          <c:tx>
            <c:v>real (fara inflatie)</c:v>
          </c:tx>
          <c:spPr>
            <a:solidFill>
              <a:srgbClr val="C55BBF"/>
            </a:solidFill>
            <a:ln>
              <a:noFill/>
            </a:ln>
            <a:effectLst/>
          </c:spPr>
          <c:invertIfNegative val="0"/>
          <c:cat>
            <c:strRef>
              <c:f>Sheet1!$D$26:$J$26</c:f>
              <c:strCache>
                <c:ptCount val="7"/>
                <c:pt idx="0">
                  <c:v>Anul 2016</c:v>
                </c:pt>
                <c:pt idx="1">
                  <c:v>Anul 2017</c:v>
                </c:pt>
                <c:pt idx="2">
                  <c:v>Anul 2018</c:v>
                </c:pt>
                <c:pt idx="3">
                  <c:v>Anul 2019</c:v>
                </c:pt>
                <c:pt idx="4">
                  <c:v>Anul 2020</c:v>
                </c:pt>
                <c:pt idx="5">
                  <c:v>Anul 2021</c:v>
                </c:pt>
                <c:pt idx="6">
                  <c:v>Anul 2022</c:v>
                </c:pt>
              </c:strCache>
            </c:strRef>
          </c:cat>
          <c:val>
            <c:numRef>
              <c:f>Sheet1!$D$40:$J$40</c:f>
              <c:numCache>
                <c:formatCode>0.00</c:formatCode>
                <c:ptCount val="7"/>
                <c:pt idx="0">
                  <c:v>115.54216024451422</c:v>
                </c:pt>
                <c:pt idx="1">
                  <c:v>119.54306538829277</c:v>
                </c:pt>
                <c:pt idx="2">
                  <c:v>105.86434658919185</c:v>
                </c:pt>
                <c:pt idx="3">
                  <c:v>109.33741221053815</c:v>
                </c:pt>
                <c:pt idx="4">
                  <c:v>101.28702610845461</c:v>
                </c:pt>
                <c:pt idx="5">
                  <c:v>105.40410128305022</c:v>
                </c:pt>
                <c:pt idx="6">
                  <c:v>105.53718027554328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5E-7A40-9FF3-0B489A0E2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8"/>
        <c:axId val="1434990495"/>
        <c:axId val="2086007583"/>
      </c:barChart>
      <c:catAx>
        <c:axId val="143499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2086007583"/>
        <c:crosses val="autoZero"/>
        <c:auto val="1"/>
        <c:lblAlgn val="ctr"/>
        <c:lblOffset val="100"/>
        <c:noMultiLvlLbl val="0"/>
      </c:catAx>
      <c:valAx>
        <c:axId val="208600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RO"/>
          </a:p>
        </c:txPr>
        <c:crossAx val="143499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txPr>
        <a:bodyPr/>
        <a:lstStyle/>
        <a:p>
          <a:pPr>
            <a:defRPr sz="1400"/>
          </a:pPr>
          <a:endParaRPr lang="en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2800" b="1">
                <a:solidFill>
                  <a:schemeClr val="tx1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Evoluția indicelui productivității muncii în județul Cluj (2016–2022)</a:t>
            </a:r>
            <a:endParaRPr lang="en-GB" sz="2800"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1309552438954143"/>
          <c:y val="1.26276440615209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FB8CC"/>
            </a:solidFill>
            <a:ln>
              <a:noFill/>
            </a:ln>
            <a:effectLst/>
          </c:spPr>
          <c:invertIfNegative val="0"/>
          <c:cat>
            <c:strRef>
              <c:f>Sheet1!$D$26:$J$26</c:f>
              <c:strCache>
                <c:ptCount val="7"/>
                <c:pt idx="0">
                  <c:v>Anul 2016</c:v>
                </c:pt>
                <c:pt idx="1">
                  <c:v>Anul 2017</c:v>
                </c:pt>
                <c:pt idx="2">
                  <c:v>Anul 2018</c:v>
                </c:pt>
                <c:pt idx="3">
                  <c:v>Anul 2019</c:v>
                </c:pt>
                <c:pt idx="4">
                  <c:v>Anul 2020</c:v>
                </c:pt>
                <c:pt idx="5">
                  <c:v>Anul 2021</c:v>
                </c:pt>
                <c:pt idx="6">
                  <c:v>Anul 2022</c:v>
                </c:pt>
              </c:strCache>
            </c:strRef>
          </c:cat>
          <c:val>
            <c:numRef>
              <c:f>Sheet1!$D$35:$J$35</c:f>
              <c:numCache>
                <c:formatCode>0.00</c:formatCode>
                <c:ptCount val="7"/>
                <c:pt idx="0">
                  <c:v>111.38375988571292</c:v>
                </c:pt>
                <c:pt idx="1">
                  <c:v>119.18150932159561</c:v>
                </c:pt>
                <c:pt idx="2">
                  <c:v>109.88204651206912</c:v>
                </c:pt>
                <c:pt idx="3">
                  <c:v>111.15430023720802</c:v>
                </c:pt>
                <c:pt idx="4">
                  <c:v>104.00978093576549</c:v>
                </c:pt>
                <c:pt idx="5">
                  <c:v>117.98468935982444</c:v>
                </c:pt>
                <c:pt idx="6">
                  <c:v>116.37807916050036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2841-A6F6-2144D7913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28"/>
        <c:axId val="1369780463"/>
        <c:axId val="1535204191"/>
      </c:barChart>
      <c:catAx>
        <c:axId val="136978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RO"/>
          </a:p>
        </c:txPr>
        <c:crossAx val="1535204191"/>
        <c:crosses val="autoZero"/>
        <c:auto val="1"/>
        <c:lblAlgn val="ctr"/>
        <c:lblOffset val="100"/>
        <c:noMultiLvlLbl val="0"/>
      </c:catAx>
      <c:valAx>
        <c:axId val="153520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R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RO"/>
          </a:p>
        </c:txPr>
        <c:crossAx val="1369780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169332</xdr:colOff>
      <xdr:row>16</xdr:row>
      <xdr:rowOff>135468</xdr:rowOff>
    </xdr:from>
    <xdr:to>
      <xdr:col>30</xdr:col>
      <xdr:colOff>33867</xdr:colOff>
      <xdr:row>34</xdr:row>
      <xdr:rowOff>508000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EBD1E0-25EF-703B-CAA5-29CAAEF0C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2607734</xdr:colOff>
      <xdr:row>40</xdr:row>
      <xdr:rowOff>110066</xdr:rowOff>
    </xdr:from>
    <xdr:to>
      <xdr:col>10</xdr:col>
      <xdr:colOff>914401</xdr:colOff>
      <xdr:row>71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2D930F-495B-D8E4-0AB5-4C990A22C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1424878</xdr:colOff>
      <xdr:row>74</xdr:row>
      <xdr:rowOff>108414</xdr:rowOff>
    </xdr:from>
    <xdr:to>
      <xdr:col>9</xdr:col>
      <xdr:colOff>965200</xdr:colOff>
      <xdr:row>109</xdr:row>
      <xdr:rowOff>16932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410563-0316-51C0-C8F2-672CDA735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92926</xdr:colOff>
      <xdr:row>39</xdr:row>
      <xdr:rowOff>77439</xdr:rowOff>
    </xdr:from>
    <xdr:to>
      <xdr:col>29</xdr:col>
      <xdr:colOff>433659</xdr:colOff>
      <xdr:row>75</xdr:row>
      <xdr:rowOff>123903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A18AA0-B5ED-C031-5B0A-429B5CF7E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882805</xdr:colOff>
      <xdr:row>78</xdr:row>
      <xdr:rowOff>108413</xdr:rowOff>
    </xdr:from>
    <xdr:to>
      <xdr:col>24</xdr:col>
      <xdr:colOff>278780</xdr:colOff>
      <xdr:row>113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7D91F14-66CC-E8A6-D5B0-9F31171901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2121829</xdr:colOff>
      <xdr:row>112</xdr:row>
      <xdr:rowOff>37789</xdr:rowOff>
    </xdr:from>
    <xdr:to>
      <xdr:col>10</xdr:col>
      <xdr:colOff>913781</xdr:colOff>
      <xdr:row>149</xdr:row>
      <xdr:rowOff>77438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85614F2-5CB1-87E0-B0F8-7666B5610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3B68-135A-2544-B5ED-F6C80AD85866}">
  <dimension ref="A1:M40"/>
  <sheetViews>
    <sheetView tabSelected="1" zoomScale="82" workbookViewId="0">
      <selection activeCell="M123" sqref="M123"/>
    </sheetView>
  </sheetViews>
  <sheetFormatPr baseColWidth="10" defaultRowHeight="16" x14ac:dyDescent="0.2"/>
  <cols>
    <col min="1" max="1" width="36.5" bestFit="1" customWidth="1"/>
    <col min="2" max="2" width="28.1640625" customWidth="1"/>
    <col min="3" max="3" width="16.6640625" customWidth="1"/>
    <col min="4" max="4" width="13.83203125" customWidth="1"/>
    <col min="5" max="5" width="14.5" customWidth="1"/>
    <col min="6" max="6" width="13.6640625" customWidth="1"/>
    <col min="7" max="7" width="12.83203125" customWidth="1"/>
    <col min="8" max="8" width="13" customWidth="1"/>
    <col min="9" max="9" width="12.33203125" customWidth="1"/>
    <col min="10" max="10" width="14.5" customWidth="1"/>
    <col min="11" max="11" width="21.5" customWidth="1"/>
  </cols>
  <sheetData>
    <row r="1" spans="1:13" x14ac:dyDescent="0.2">
      <c r="A1" s="24" t="s">
        <v>0</v>
      </c>
      <c r="B1" s="24" t="s">
        <v>1</v>
      </c>
      <c r="C1" s="24" t="s">
        <v>2</v>
      </c>
      <c r="D1" s="24"/>
      <c r="E1" s="24"/>
      <c r="F1" s="24"/>
      <c r="G1" s="24"/>
      <c r="H1" s="24"/>
      <c r="I1" s="24"/>
      <c r="J1" s="24"/>
    </row>
    <row r="2" spans="1:13" x14ac:dyDescent="0.2">
      <c r="A2" s="24"/>
      <c r="B2" s="24"/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3" x14ac:dyDescent="0.2">
      <c r="A3" s="24"/>
      <c r="B3" s="24"/>
      <c r="C3" s="24" t="s">
        <v>11</v>
      </c>
      <c r="D3" s="24"/>
      <c r="E3" s="24"/>
      <c r="F3" s="24"/>
      <c r="G3" s="24"/>
      <c r="H3" s="24"/>
      <c r="I3" s="24"/>
      <c r="J3" s="24"/>
    </row>
    <row r="4" spans="1:13" x14ac:dyDescent="0.2">
      <c r="A4" s="24"/>
      <c r="B4" s="24"/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3" ht="45" x14ac:dyDescent="0.2">
      <c r="A5" s="3" t="s">
        <v>13</v>
      </c>
      <c r="B5" s="1" t="s">
        <v>14</v>
      </c>
      <c r="C5" s="2">
        <v>31027.9</v>
      </c>
      <c r="D5" s="2">
        <v>35300.9</v>
      </c>
      <c r="E5" s="2">
        <v>42764.2</v>
      </c>
      <c r="F5" s="2">
        <v>47370.400000000001</v>
      </c>
      <c r="G5" s="2">
        <v>53776.4</v>
      </c>
      <c r="H5" s="2">
        <v>55902.400000000001</v>
      </c>
      <c r="I5" s="2">
        <v>61896.6</v>
      </c>
      <c r="J5" s="2">
        <v>74302.7</v>
      </c>
    </row>
    <row r="8" spans="1:13" x14ac:dyDescent="0.2">
      <c r="A8" s="25" t="s">
        <v>20</v>
      </c>
      <c r="B8" s="24" t="s">
        <v>15</v>
      </c>
      <c r="C8" s="24" t="s">
        <v>1</v>
      </c>
      <c r="D8" s="24" t="s">
        <v>2</v>
      </c>
      <c r="E8" s="24"/>
      <c r="F8" s="24"/>
      <c r="G8" s="24"/>
      <c r="H8" s="24"/>
      <c r="I8" s="24"/>
      <c r="J8" s="24"/>
      <c r="K8" s="24"/>
    </row>
    <row r="9" spans="1:13" x14ac:dyDescent="0.2">
      <c r="A9" s="25"/>
      <c r="B9" s="24"/>
      <c r="C9" s="24"/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</row>
    <row r="10" spans="1:13" x14ac:dyDescent="0.2">
      <c r="A10" s="25"/>
      <c r="B10" s="24"/>
      <c r="C10" s="24"/>
      <c r="D10" s="24" t="s">
        <v>16</v>
      </c>
      <c r="E10" s="24"/>
      <c r="F10" s="24"/>
      <c r="G10" s="24"/>
      <c r="H10" s="24"/>
      <c r="I10" s="24"/>
      <c r="J10" s="24"/>
      <c r="K10" s="24"/>
      <c r="L10" s="5"/>
      <c r="M10" s="5"/>
    </row>
    <row r="11" spans="1:13" x14ac:dyDescent="0.2">
      <c r="A11" s="25"/>
      <c r="B11" s="24"/>
      <c r="C11" s="24"/>
      <c r="D11" s="1" t="s">
        <v>17</v>
      </c>
      <c r="E11" s="1" t="s">
        <v>17</v>
      </c>
      <c r="F11" s="1" t="s">
        <v>17</v>
      </c>
      <c r="G11" s="1" t="s">
        <v>17</v>
      </c>
      <c r="H11" s="1" t="s">
        <v>17</v>
      </c>
      <c r="I11" s="1" t="s">
        <v>17</v>
      </c>
      <c r="J11" s="1" t="s">
        <v>17</v>
      </c>
      <c r="K11" s="1" t="s">
        <v>17</v>
      </c>
    </row>
    <row r="12" spans="1:13" x14ac:dyDescent="0.2">
      <c r="A12" s="1" t="s">
        <v>18</v>
      </c>
      <c r="B12" s="1" t="s">
        <v>19</v>
      </c>
      <c r="C12" s="1" t="s">
        <v>14</v>
      </c>
      <c r="D12" s="4">
        <v>345.2</v>
      </c>
      <c r="E12" s="4">
        <v>352.6</v>
      </c>
      <c r="F12" s="4">
        <v>358.4</v>
      </c>
      <c r="G12" s="4">
        <v>361.3</v>
      </c>
      <c r="H12" s="4">
        <v>369</v>
      </c>
      <c r="I12" s="4">
        <v>368.8</v>
      </c>
      <c r="J12" s="4">
        <v>346.1</v>
      </c>
      <c r="K12" s="4">
        <v>357</v>
      </c>
    </row>
    <row r="15" spans="1:13" x14ac:dyDescent="0.2">
      <c r="A15" s="19" t="s">
        <v>25</v>
      </c>
    </row>
    <row r="16" spans="1:13" x14ac:dyDescent="0.2">
      <c r="A16" s="24" t="s">
        <v>21</v>
      </c>
      <c r="B16" s="24" t="s">
        <v>15</v>
      </c>
      <c r="C16" s="24" t="s">
        <v>22</v>
      </c>
      <c r="D16" s="24" t="s">
        <v>1</v>
      </c>
      <c r="E16" s="24" t="s">
        <v>2</v>
      </c>
      <c r="F16" s="24"/>
      <c r="G16" s="24"/>
      <c r="H16" s="24"/>
      <c r="I16" s="24"/>
      <c r="J16" s="24"/>
      <c r="K16" s="24"/>
      <c r="L16" s="24"/>
    </row>
    <row r="17" spans="1:12" x14ac:dyDescent="0.2">
      <c r="A17" s="24"/>
      <c r="B17" s="24"/>
      <c r="C17" s="24"/>
      <c r="D17" s="24"/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  <c r="K17" s="1" t="s">
        <v>9</v>
      </c>
      <c r="L17" s="1" t="s">
        <v>10</v>
      </c>
    </row>
    <row r="18" spans="1:12" x14ac:dyDescent="0.2">
      <c r="A18" s="24"/>
      <c r="B18" s="24"/>
      <c r="C18" s="24"/>
      <c r="D18" s="24"/>
      <c r="E18" s="24" t="s">
        <v>23</v>
      </c>
      <c r="F18" s="24"/>
      <c r="G18" s="24"/>
      <c r="H18" s="24"/>
      <c r="I18" s="24"/>
      <c r="J18" s="24"/>
      <c r="K18" s="24"/>
      <c r="L18" s="24"/>
    </row>
    <row r="19" spans="1:12" ht="30" x14ac:dyDescent="0.2">
      <c r="A19" s="24"/>
      <c r="B19" s="24"/>
      <c r="C19" s="24"/>
      <c r="D19" s="24"/>
      <c r="E19" s="1" t="s">
        <v>24</v>
      </c>
      <c r="F19" s="1" t="s">
        <v>24</v>
      </c>
      <c r="G19" s="1" t="s">
        <v>24</v>
      </c>
      <c r="H19" s="1" t="s">
        <v>24</v>
      </c>
      <c r="I19" s="1" t="s">
        <v>24</v>
      </c>
      <c r="J19" s="1" t="s">
        <v>24</v>
      </c>
      <c r="K19" s="1" t="s">
        <v>24</v>
      </c>
      <c r="L19" s="1" t="s">
        <v>24</v>
      </c>
    </row>
    <row r="20" spans="1:12" x14ac:dyDescent="0.2">
      <c r="A20" s="1" t="s">
        <v>19</v>
      </c>
      <c r="B20" s="1" t="s">
        <v>19</v>
      </c>
      <c r="C20" s="1" t="s">
        <v>19</v>
      </c>
      <c r="D20" s="1" t="s">
        <v>14</v>
      </c>
      <c r="E20" s="2">
        <v>700982</v>
      </c>
      <c r="F20" s="2">
        <v>701258</v>
      </c>
      <c r="G20" s="2">
        <v>702780</v>
      </c>
      <c r="H20" s="2">
        <v>704619</v>
      </c>
      <c r="I20" s="2">
        <v>706952</v>
      </c>
      <c r="J20" s="2">
        <v>709872</v>
      </c>
      <c r="K20" s="2">
        <v>710664</v>
      </c>
      <c r="L20" s="2">
        <v>683028</v>
      </c>
    </row>
    <row r="23" spans="1:12" x14ac:dyDescent="0.2">
      <c r="A23" s="6"/>
    </row>
    <row r="26" spans="1:12" ht="48" x14ac:dyDescent="0.2">
      <c r="A26" s="20" t="s">
        <v>26</v>
      </c>
      <c r="B26" s="22" t="s">
        <v>37</v>
      </c>
      <c r="C26" s="11" t="s">
        <v>3</v>
      </c>
      <c r="D26" s="11" t="s">
        <v>4</v>
      </c>
      <c r="E26" s="11" t="s">
        <v>5</v>
      </c>
      <c r="F26" s="11" t="s">
        <v>6</v>
      </c>
      <c r="G26" s="11" t="s">
        <v>7</v>
      </c>
      <c r="H26" s="11" t="s">
        <v>8</v>
      </c>
      <c r="I26" s="11" t="s">
        <v>9</v>
      </c>
      <c r="J26" s="11" t="s">
        <v>10</v>
      </c>
      <c r="K26" s="10"/>
      <c r="L26" s="10"/>
    </row>
    <row r="27" spans="1:12" ht="24" x14ac:dyDescent="0.2">
      <c r="A27" s="21"/>
      <c r="B27" s="23"/>
      <c r="C27" s="11"/>
      <c r="D27" s="11"/>
      <c r="E27" s="11"/>
      <c r="F27" s="11"/>
      <c r="G27" s="11"/>
      <c r="H27" s="11"/>
      <c r="I27" s="11"/>
      <c r="J27" s="11"/>
      <c r="K27" s="12" t="s">
        <v>38</v>
      </c>
      <c r="L27" s="10"/>
    </row>
    <row r="28" spans="1:12" ht="71" customHeight="1" x14ac:dyDescent="0.35">
      <c r="A28" s="14" t="s">
        <v>27</v>
      </c>
      <c r="B28" s="12" t="s">
        <v>28</v>
      </c>
      <c r="C28" s="15">
        <v>31027.9</v>
      </c>
      <c r="D28" s="15">
        <v>35300.9</v>
      </c>
      <c r="E28" s="15">
        <v>42764.2</v>
      </c>
      <c r="F28" s="15">
        <v>47370.400000000001</v>
      </c>
      <c r="G28" s="15">
        <v>53776.4</v>
      </c>
      <c r="H28" s="15">
        <v>55902.400000000001</v>
      </c>
      <c r="I28" s="15">
        <v>61896.6</v>
      </c>
      <c r="J28" s="15">
        <v>74302.7</v>
      </c>
      <c r="K28" s="8" t="s">
        <v>34</v>
      </c>
      <c r="L28" s="9"/>
    </row>
    <row r="29" spans="1:12" ht="66" customHeight="1" x14ac:dyDescent="0.35">
      <c r="A29" s="13" t="s">
        <v>29</v>
      </c>
      <c r="B29" s="12" t="s">
        <v>30</v>
      </c>
      <c r="C29" s="16">
        <v>345.2</v>
      </c>
      <c r="D29" s="16">
        <v>352.6</v>
      </c>
      <c r="E29" s="16">
        <v>358.4</v>
      </c>
      <c r="F29" s="16">
        <v>361.3</v>
      </c>
      <c r="G29" s="16">
        <v>369</v>
      </c>
      <c r="H29" s="16">
        <v>368.8</v>
      </c>
      <c r="I29" s="16">
        <v>346.1</v>
      </c>
      <c r="J29" s="16">
        <v>357</v>
      </c>
      <c r="K29" s="8" t="s">
        <v>33</v>
      </c>
      <c r="L29" s="9"/>
    </row>
    <row r="30" spans="1:12" ht="66" customHeight="1" x14ac:dyDescent="0.35">
      <c r="A30" s="13" t="s">
        <v>31</v>
      </c>
      <c r="B30" s="12" t="s">
        <v>32</v>
      </c>
      <c r="C30" s="15">
        <v>700982</v>
      </c>
      <c r="D30" s="15">
        <v>701258</v>
      </c>
      <c r="E30" s="15">
        <v>702780</v>
      </c>
      <c r="F30" s="15">
        <v>704619</v>
      </c>
      <c r="G30" s="15">
        <v>706952</v>
      </c>
      <c r="H30" s="15">
        <v>709872</v>
      </c>
      <c r="I30" s="15">
        <v>710664</v>
      </c>
      <c r="J30" s="15">
        <v>683028</v>
      </c>
      <c r="K30" s="8" t="s">
        <v>42</v>
      </c>
      <c r="L30" s="9"/>
    </row>
    <row r="31" spans="1:12" ht="60" customHeight="1" x14ac:dyDescent="0.3">
      <c r="A31" s="14" t="s">
        <v>35</v>
      </c>
      <c r="B31" s="12" t="s">
        <v>36</v>
      </c>
      <c r="C31" s="7">
        <f t="shared" ref="C31:J31" si="0">C28*1000000/C30</f>
        <v>44263.476094963924</v>
      </c>
      <c r="D31" s="7">
        <f t="shared" si="0"/>
        <v>50339.390067564294</v>
      </c>
      <c r="E31" s="7">
        <f t="shared" si="0"/>
        <v>60850.052648054865</v>
      </c>
      <c r="F31" s="7">
        <f t="shared" si="0"/>
        <v>67228.38867529828</v>
      </c>
      <c r="G31" s="7">
        <f t="shared" si="0"/>
        <v>76067.96501035431</v>
      </c>
      <c r="H31" s="7">
        <f t="shared" si="0"/>
        <v>78749.971825906643</v>
      </c>
      <c r="I31" s="7">
        <f t="shared" si="0"/>
        <v>87096.855898145965</v>
      </c>
      <c r="J31" s="7">
        <f t="shared" si="0"/>
        <v>108784.26653080108</v>
      </c>
      <c r="K31" s="8" t="s">
        <v>39</v>
      </c>
      <c r="L31" s="9"/>
    </row>
    <row r="32" spans="1:12" ht="58" customHeight="1" x14ac:dyDescent="0.3">
      <c r="A32" s="14" t="s">
        <v>40</v>
      </c>
      <c r="B32" s="12" t="s">
        <v>50</v>
      </c>
      <c r="C32" s="8">
        <f>C28/C29</f>
        <v>89.883835457705686</v>
      </c>
      <c r="D32" s="8">
        <f t="shared" ref="D32:J32" si="1">D28/D29</f>
        <v>100.1159954622802</v>
      </c>
      <c r="E32" s="8">
        <f t="shared" si="1"/>
        <v>119.31975446428571</v>
      </c>
      <c r="F32" s="8">
        <f t="shared" si="1"/>
        <v>131.11098809853308</v>
      </c>
      <c r="G32" s="8">
        <f t="shared" si="1"/>
        <v>145.73550135501355</v>
      </c>
      <c r="H32" s="8">
        <f t="shared" si="1"/>
        <v>151.57917570498915</v>
      </c>
      <c r="I32" s="8">
        <f t="shared" si="1"/>
        <v>178.84021958971394</v>
      </c>
      <c r="J32" s="8">
        <f t="shared" si="1"/>
        <v>208.13081232492996</v>
      </c>
      <c r="K32" s="8" t="s">
        <v>41</v>
      </c>
      <c r="L32" s="9"/>
    </row>
    <row r="33" spans="1:12" ht="48" x14ac:dyDescent="0.3">
      <c r="A33" s="14" t="s">
        <v>43</v>
      </c>
      <c r="B33" s="17" t="s">
        <v>44</v>
      </c>
      <c r="C33" s="18">
        <f t="shared" ref="C33:J33" si="2">C29*1000/C30</f>
        <v>0.49245201731285537</v>
      </c>
      <c r="D33" s="18">
        <f t="shared" si="2"/>
        <v>0.50281066312255973</v>
      </c>
      <c r="E33" s="18">
        <f t="shared" si="2"/>
        <v>0.50997467201684743</v>
      </c>
      <c r="F33" s="18">
        <f t="shared" si="2"/>
        <v>0.51275937776301805</v>
      </c>
      <c r="G33" s="18">
        <f t="shared" si="2"/>
        <v>0.52195905804071563</v>
      </c>
      <c r="H33" s="18">
        <f t="shared" si="2"/>
        <v>0.51953028151554081</v>
      </c>
      <c r="I33" s="18">
        <f t="shared" si="2"/>
        <v>0.48700933211756892</v>
      </c>
      <c r="J33" s="18">
        <f t="shared" si="2"/>
        <v>0.52267256979216081</v>
      </c>
      <c r="K33" s="8" t="s">
        <v>49</v>
      </c>
      <c r="L33" s="9"/>
    </row>
    <row r="34" spans="1:12" ht="48" x14ac:dyDescent="0.3">
      <c r="A34" s="14" t="s">
        <v>45</v>
      </c>
      <c r="B34" s="12" t="s">
        <v>46</v>
      </c>
      <c r="C34" s="8"/>
      <c r="D34" s="8">
        <f>D28/C28*100</f>
        <v>113.77147663876706</v>
      </c>
      <c r="E34" s="8">
        <f>E28/D28*100</f>
        <v>121.14195388786119</v>
      </c>
      <c r="F34" s="8">
        <f>F28/E28*100</f>
        <v>110.77115905360091</v>
      </c>
      <c r="G34" s="8">
        <f>G28/F28*100</f>
        <v>113.52321280799825</v>
      </c>
      <c r="H34" s="8">
        <f>H28/G28*100</f>
        <v>103.95340707075967</v>
      </c>
      <c r="I34" s="8">
        <f>I28/H28*100</f>
        <v>110.72261656029079</v>
      </c>
      <c r="J34" s="8">
        <f>J28/I28*100</f>
        <v>120.04326570441673</v>
      </c>
      <c r="K34" s="8" t="s">
        <v>49</v>
      </c>
      <c r="L34" s="9"/>
    </row>
    <row r="35" spans="1:12" ht="48" x14ac:dyDescent="0.3">
      <c r="A35" s="14" t="s">
        <v>47</v>
      </c>
      <c r="B35" s="12" t="s">
        <v>48</v>
      </c>
      <c r="C35" s="7"/>
      <c r="D35" s="7">
        <f>D32/C32*100</f>
        <v>111.38375988571292</v>
      </c>
      <c r="E35" s="7">
        <f>E32/D32*100</f>
        <v>119.18150932159561</v>
      </c>
      <c r="F35" s="7">
        <f>F32/E32*100</f>
        <v>109.88204651206912</v>
      </c>
      <c r="G35" s="7">
        <f>G32/F32*100</f>
        <v>111.15430023720802</v>
      </c>
      <c r="H35" s="7">
        <f>H32/G32*100</f>
        <v>104.00978093576549</v>
      </c>
      <c r="I35" s="7">
        <f>I32/H32*100</f>
        <v>117.98468935982444</v>
      </c>
      <c r="J35" s="7">
        <f>J32/I32*100</f>
        <v>116.37807916050036</v>
      </c>
      <c r="K35" s="8" t="s">
        <v>49</v>
      </c>
      <c r="L35" s="9"/>
    </row>
    <row r="36" spans="1:12" ht="48" x14ac:dyDescent="0.3">
      <c r="A36" s="14" t="s">
        <v>138</v>
      </c>
      <c r="B36" s="12" t="s">
        <v>139</v>
      </c>
      <c r="C36" s="7"/>
      <c r="D36" s="7">
        <f>AVERAGE(IPC!B4:M4)</f>
        <v>98.4675</v>
      </c>
      <c r="E36" s="7">
        <f>AVERAGE(IPC!N4:Y4)</f>
        <v>101.3375</v>
      </c>
      <c r="F36" s="7">
        <f>AVERAGE(IPC!Z4:AK4)</f>
        <v>104.635</v>
      </c>
      <c r="G36" s="7">
        <f>AVERAGE(IPC!AL4:AW4)</f>
        <v>103.82833333333333</v>
      </c>
      <c r="H36" s="7">
        <f>AVERAGE(IPC!AX4:BI4)</f>
        <v>102.6325</v>
      </c>
      <c r="I36" s="7">
        <f>AVERAGE(IPC!BJ4:BU4)</f>
        <v>105.04583333333333</v>
      </c>
      <c r="J36" s="7">
        <f>AVERAGE(IPC!BV4:CG4)</f>
        <v>113.745</v>
      </c>
      <c r="K36" s="8" t="s">
        <v>49</v>
      </c>
      <c r="L36" s="9"/>
    </row>
    <row r="37" spans="1:12" ht="48" x14ac:dyDescent="0.3">
      <c r="A37" s="14" t="s">
        <v>140</v>
      </c>
      <c r="B37" s="12" t="s">
        <v>141</v>
      </c>
      <c r="C37" s="7">
        <v>100</v>
      </c>
      <c r="D37" s="7">
        <f>C37*D36/100</f>
        <v>98.4675</v>
      </c>
      <c r="E37" s="7">
        <f>D37*E36/100</f>
        <v>99.78450281250001</v>
      </c>
      <c r="F37" s="7">
        <f>E37*F36/100</f>
        <v>104.40951451785939</v>
      </c>
      <c r="G37" s="7">
        <f>F37*G36/100</f>
        <v>108.40665876531811</v>
      </c>
      <c r="H37" s="7">
        <f>G37*H36/100</f>
        <v>111.26046405731512</v>
      </c>
      <c r="I37" s="7">
        <f>H37*I36/100</f>
        <v>116.87448163954048</v>
      </c>
      <c r="J37" s="7">
        <f>I37*J36/100</f>
        <v>132.93887914089532</v>
      </c>
      <c r="K37" s="8" t="s">
        <v>49</v>
      </c>
      <c r="L37" s="9"/>
    </row>
    <row r="38" spans="1:12" ht="48" x14ac:dyDescent="0.3">
      <c r="A38" s="14" t="s">
        <v>142</v>
      </c>
      <c r="B38" s="12" t="s">
        <v>143</v>
      </c>
      <c r="C38" s="7">
        <f>C31/C37*100</f>
        <v>44263.476094963924</v>
      </c>
      <c r="D38" s="7">
        <f>D31/D37*100</f>
        <v>51122.84770870012</v>
      </c>
      <c r="E38" s="7">
        <f>E31/E37*100</f>
        <v>60981.46599216424</v>
      </c>
      <c r="F38" s="7">
        <f>F31/F37*100</f>
        <v>64389.140190666025</v>
      </c>
      <c r="G38" s="7">
        <f>G31/G37*100</f>
        <v>70169.08912858246</v>
      </c>
      <c r="H38" s="7">
        <f>H31/H37*100</f>
        <v>70779.83405258771</v>
      </c>
      <c r="I38" s="7">
        <f>I31/I37*100</f>
        <v>74521.70454690575</v>
      </c>
      <c r="J38" s="7">
        <f>J31/J37*100</f>
        <v>81830.28714685193</v>
      </c>
      <c r="K38" s="8" t="s">
        <v>39</v>
      </c>
      <c r="L38" s="9"/>
    </row>
    <row r="39" spans="1:12" ht="48" x14ac:dyDescent="0.3">
      <c r="A39" s="14" t="s">
        <v>144</v>
      </c>
      <c r="B39" s="12" t="s">
        <v>145</v>
      </c>
      <c r="C39" s="7">
        <f>C32/C37*100</f>
        <v>89.88383545770569</v>
      </c>
      <c r="D39" s="7">
        <f>D32/D37*100</f>
        <v>101.67415183921618</v>
      </c>
      <c r="E39" s="7">
        <f>E32/E37*100</f>
        <v>119.57744048541625</v>
      </c>
      <c r="F39" s="7">
        <f>F32/F37*100</f>
        <v>125.57379344590896</v>
      </c>
      <c r="G39" s="7">
        <f>G32/G37*100</f>
        <v>134.43408644344072</v>
      </c>
      <c r="H39" s="7">
        <f>H32/H37*100</f>
        <v>136.2381300395297</v>
      </c>
      <c r="I39" s="7">
        <f>I32/I37*100</f>
        <v>153.019048367877</v>
      </c>
      <c r="J39" s="7">
        <f>J32/J37*100</f>
        <v>156.56128114661055</v>
      </c>
      <c r="K39" s="8" t="s">
        <v>41</v>
      </c>
      <c r="L39" s="9"/>
    </row>
    <row r="40" spans="1:12" ht="48" x14ac:dyDescent="0.3">
      <c r="A40" s="14" t="s">
        <v>146</v>
      </c>
      <c r="B40" s="12" t="s">
        <v>147</v>
      </c>
      <c r="C40" s="7"/>
      <c r="D40" s="7">
        <f>D34/D36*100</f>
        <v>115.54216024451422</v>
      </c>
      <c r="E40" s="7">
        <f>E34/E36*100</f>
        <v>119.54306538829277</v>
      </c>
      <c r="F40" s="7">
        <f>F34/F36*100</f>
        <v>105.86434658919185</v>
      </c>
      <c r="G40" s="7">
        <f>G34/G36*100</f>
        <v>109.33741221053815</v>
      </c>
      <c r="H40" s="7">
        <f>H34/H36*100</f>
        <v>101.28702610845461</v>
      </c>
      <c r="I40" s="7">
        <f>I34/I36*100</f>
        <v>105.40410128305022</v>
      </c>
      <c r="J40" s="7">
        <f>J34/J36*100</f>
        <v>105.53718027554328</v>
      </c>
      <c r="K40" s="8" t="s">
        <v>49</v>
      </c>
      <c r="L40" s="9"/>
    </row>
  </sheetData>
  <mergeCells count="17">
    <mergeCell ref="D16:D19"/>
    <mergeCell ref="E16:L16"/>
    <mergeCell ref="E18:L18"/>
    <mergeCell ref="A1:A4"/>
    <mergeCell ref="B1:B4"/>
    <mergeCell ref="C1:J1"/>
    <mergeCell ref="C3:J3"/>
    <mergeCell ref="A8:A11"/>
    <mergeCell ref="B8:B11"/>
    <mergeCell ref="C8:C11"/>
    <mergeCell ref="D8:K8"/>
    <mergeCell ref="D10:K10"/>
    <mergeCell ref="A26:A27"/>
    <mergeCell ref="B26:B27"/>
    <mergeCell ref="A16:A19"/>
    <mergeCell ref="B16:B19"/>
    <mergeCell ref="C16:C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G4"/>
  <sheetViews>
    <sheetView workbookViewId="0"/>
  </sheetViews>
  <sheetFormatPr baseColWidth="10" defaultRowHeight="16"/>
  <cols>
    <col min="1" max="1" width="40" customWidth="1"/>
    <col min="2" max="85" width="18" customWidth="1"/>
  </cols>
  <sheetData>
    <row r="1">
      <c r="A1" t="s">
        <v>51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69</v>
      </c>
      <c r="S2" t="s">
        <v>70</v>
      </c>
      <c r="T2" t="s">
        <v>71</v>
      </c>
      <c r="U2" t="s">
        <v>72</v>
      </c>
      <c r="V2" t="s">
        <v>73</v>
      </c>
      <c r="W2" t="s">
        <v>74</v>
      </c>
      <c r="X2" t="s">
        <v>75</v>
      </c>
      <c r="Y2" t="s">
        <v>76</v>
      </c>
      <c r="Z2" t="s">
        <v>77</v>
      </c>
      <c r="AA2" t="s">
        <v>78</v>
      </c>
      <c r="AB2" t="s">
        <v>79</v>
      </c>
      <c r="AC2" t="s">
        <v>80</v>
      </c>
      <c r="AD2" t="s">
        <v>81</v>
      </c>
      <c r="AE2" t="s">
        <v>82</v>
      </c>
      <c r="AF2" t="s">
        <v>83</v>
      </c>
      <c r="AG2" t="s">
        <v>84</v>
      </c>
      <c r="AH2" t="s">
        <v>85</v>
      </c>
      <c r="AI2" t="s">
        <v>86</v>
      </c>
      <c r="AJ2" t="s">
        <v>87</v>
      </c>
      <c r="AK2" t="s">
        <v>88</v>
      </c>
      <c r="AL2" t="s">
        <v>89</v>
      </c>
      <c r="AM2" t="s">
        <v>90</v>
      </c>
      <c r="AN2" t="s">
        <v>91</v>
      </c>
      <c r="AO2" t="s">
        <v>92</v>
      </c>
      <c r="AP2" t="s">
        <v>93</v>
      </c>
      <c r="AQ2" t="s">
        <v>94</v>
      </c>
      <c r="AR2" t="s">
        <v>95</v>
      </c>
      <c r="AS2" t="s">
        <v>96</v>
      </c>
      <c r="AT2" t="s">
        <v>97</v>
      </c>
      <c r="AU2" t="s">
        <v>98</v>
      </c>
      <c r="AV2" t="s">
        <v>99</v>
      </c>
      <c r="AW2" t="s">
        <v>100</v>
      </c>
      <c r="AX2" t="s">
        <v>101</v>
      </c>
      <c r="AY2" t="s">
        <v>102</v>
      </c>
      <c r="AZ2" t="s">
        <v>103</v>
      </c>
      <c r="BA2" t="s">
        <v>104</v>
      </c>
      <c r="BB2" t="s">
        <v>105</v>
      </c>
      <c r="BC2" t="s">
        <v>106</v>
      </c>
      <c r="BD2" t="s">
        <v>107</v>
      </c>
      <c r="BE2" t="s">
        <v>108</v>
      </c>
      <c r="BF2" t="s">
        <v>109</v>
      </c>
      <c r="BG2" t="s">
        <v>110</v>
      </c>
      <c r="BH2" t="s">
        <v>111</v>
      </c>
      <c r="BI2" t="s">
        <v>112</v>
      </c>
      <c r="BJ2" t="s">
        <v>113</v>
      </c>
      <c r="BK2" t="s">
        <v>114</v>
      </c>
      <c r="BL2" t="s">
        <v>115</v>
      </c>
      <c r="BM2" t="s">
        <v>116</v>
      </c>
      <c r="BN2" t="s">
        <v>117</v>
      </c>
      <c r="BO2" t="s">
        <v>118</v>
      </c>
      <c r="BP2" t="s">
        <v>119</v>
      </c>
      <c r="BQ2" t="s">
        <v>120</v>
      </c>
      <c r="BR2" t="s">
        <v>121</v>
      </c>
      <c r="BS2" t="s">
        <v>122</v>
      </c>
      <c r="BT2" t="s">
        <v>123</v>
      </c>
      <c r="BU2" t="s">
        <v>124</v>
      </c>
      <c r="BV2" t="s">
        <v>125</v>
      </c>
      <c r="BW2" t="s">
        <v>126</v>
      </c>
      <c r="BX2" t="s">
        <v>127</v>
      </c>
      <c r="BY2" t="s">
        <v>128</v>
      </c>
      <c r="BZ2" t="s">
        <v>129</v>
      </c>
      <c r="CA2" t="s">
        <v>130</v>
      </c>
      <c r="CB2" t="s">
        <v>131</v>
      </c>
      <c r="CC2" t="s">
        <v>132</v>
      </c>
      <c r="CD2" t="s">
        <v>133</v>
      </c>
      <c r="CE2" t="s">
        <v>134</v>
      </c>
      <c r="CF2" t="s">
        <v>135</v>
      </c>
      <c r="CG2" t="s">
        <v>136</v>
      </c>
    </row>
    <row r="3">
      <c r="A3" t="s">
        <v>137</v>
      </c>
    </row>
    <row r="4">
      <c r="A4" t="s">
        <v>18</v>
      </c>
      <c r="B4">
        <v>97.87</v>
      </c>
      <c r="C4">
        <v>97.32</v>
      </c>
      <c r="D4">
        <v>97.02</v>
      </c>
      <c r="E4">
        <v>96.75</v>
      </c>
      <c r="F4">
        <v>96.54</v>
      </c>
      <c r="G4">
        <v>99.3</v>
      </c>
      <c r="H4">
        <v>99.22</v>
      </c>
      <c r="I4">
        <v>99.8</v>
      </c>
      <c r="J4">
        <v>99.43</v>
      </c>
      <c r="K4">
        <v>99.57</v>
      </c>
      <c r="L4">
        <v>99.33</v>
      </c>
      <c r="M4">
        <v>99.46</v>
      </c>
      <c r="N4">
        <v>100.05</v>
      </c>
      <c r="O4">
        <v>100.2</v>
      </c>
      <c r="P4">
        <v>100.18</v>
      </c>
      <c r="Q4">
        <v>100.61</v>
      </c>
      <c r="R4">
        <v>100.64</v>
      </c>
      <c r="S4">
        <v>100.85</v>
      </c>
      <c r="T4">
        <v>101.42</v>
      </c>
      <c r="U4">
        <v>101.15</v>
      </c>
      <c r="V4">
        <v>101.77</v>
      </c>
      <c r="W4">
        <v>102.63</v>
      </c>
      <c r="X4">
        <v>103.23</v>
      </c>
      <c r="Y4">
        <v>103.32</v>
      </c>
      <c r="Z4">
        <v>104.32</v>
      </c>
      <c r="AA4">
        <v>104.72</v>
      </c>
      <c r="AB4">
        <v>104.95</v>
      </c>
      <c r="AC4">
        <v>105.22</v>
      </c>
      <c r="AD4">
        <v>105.41</v>
      </c>
      <c r="AE4">
        <v>105.4</v>
      </c>
      <c r="AF4">
        <v>104.56</v>
      </c>
      <c r="AG4">
        <v>105.06</v>
      </c>
      <c r="AH4">
        <v>105.03</v>
      </c>
      <c r="AI4">
        <v>104.25</v>
      </c>
      <c r="AJ4">
        <v>103.43</v>
      </c>
      <c r="AK4">
        <v>103.27</v>
      </c>
      <c r="AL4">
        <v>103.32</v>
      </c>
      <c r="AM4">
        <v>103.83</v>
      </c>
      <c r="AN4">
        <v>104.03</v>
      </c>
      <c r="AO4">
        <v>104.11</v>
      </c>
      <c r="AP4">
        <v>104.1</v>
      </c>
      <c r="AQ4">
        <v>103.84</v>
      </c>
      <c r="AR4">
        <v>104.12</v>
      </c>
      <c r="AS4">
        <v>103.89</v>
      </c>
      <c r="AT4">
        <v>103.49</v>
      </c>
      <c r="AU4">
        <v>103.4</v>
      </c>
      <c r="AV4">
        <v>103.77</v>
      </c>
      <c r="AW4">
        <v>104.04</v>
      </c>
      <c r="AX4">
        <v>103.6</v>
      </c>
      <c r="AY4">
        <v>103.05</v>
      </c>
      <c r="AZ4">
        <v>103.05</v>
      </c>
      <c r="BA4">
        <v>102.68</v>
      </c>
      <c r="BB4">
        <v>102.26</v>
      </c>
      <c r="BC4">
        <v>102.58</v>
      </c>
      <c r="BD4">
        <v>102.8</v>
      </c>
      <c r="BE4">
        <v>102.68</v>
      </c>
      <c r="BF4">
        <v>102.45</v>
      </c>
      <c r="BG4">
        <v>102.24</v>
      </c>
      <c r="BH4">
        <v>102.14</v>
      </c>
      <c r="BI4">
        <v>102.06</v>
      </c>
      <c r="BJ4">
        <v>102.99</v>
      </c>
      <c r="BK4">
        <v>103.16</v>
      </c>
      <c r="BL4">
        <v>103.05</v>
      </c>
      <c r="BM4">
        <v>103.24</v>
      </c>
      <c r="BN4">
        <v>103.75</v>
      </c>
      <c r="BO4">
        <v>103.94</v>
      </c>
      <c r="BP4">
        <v>104.95</v>
      </c>
      <c r="BQ4">
        <v>105.25</v>
      </c>
      <c r="BR4">
        <v>106.29</v>
      </c>
      <c r="BS4">
        <v>107.94</v>
      </c>
      <c r="BT4">
        <v>107.8</v>
      </c>
      <c r="BU4">
        <v>108.19</v>
      </c>
      <c r="BV4">
        <v>108.35</v>
      </c>
      <c r="BW4">
        <v>108.53</v>
      </c>
      <c r="BX4">
        <v>110.15</v>
      </c>
      <c r="BY4">
        <v>113.76</v>
      </c>
      <c r="BZ4">
        <v>114.49</v>
      </c>
      <c r="CA4">
        <v>115.05</v>
      </c>
      <c r="CB4">
        <v>114.96</v>
      </c>
      <c r="CC4">
        <v>115.32</v>
      </c>
      <c r="CD4">
        <v>115.88</v>
      </c>
      <c r="CE4">
        <v>115.32</v>
      </c>
      <c r="CF4">
        <v>116.76</v>
      </c>
      <c r="CG4">
        <v>116.37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Galoș Ioana</dc:creator>
  <cp:lastModifiedBy>Galoș Ioana</cp:lastModifiedBy>
  <dcterms:created xsi:type="dcterms:W3CDTF">2026-01-13T12:51:50Z</dcterms:created>
  <dcterms:modified xsi:type="dcterms:W3CDTF">2026-10-27T17:32:55Z</dcterms:modified>
</cp:coreProperties>
</file>